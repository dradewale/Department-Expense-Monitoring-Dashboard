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E3A6470-3802-4FC6-9381-7BEE0591D2B3}" xr6:coauthVersionLast="47" xr6:coauthVersionMax="47" xr10:uidLastSave="{00000000-0000-0000-0000-000000000000}"/>
  <bookViews>
    <workbookView xWindow="30690" yWindow="2865" windowWidth="27840" windowHeight="14445" firstSheet="2" activeTab="2" xr2:uid="{85B21917-5327-446C-A57D-42E37340B996}"/>
  </bookViews>
  <sheets>
    <sheet name="Sheet1" sheetId="1" r:id="rId1"/>
    <sheet name="Pivot table sheet" sheetId="3" r:id="rId2"/>
    <sheet name="Dashboard" sheetId="2" r:id="rId3"/>
  </sheets>
  <definedNames>
    <definedName name="_xlchart.v1.0" hidden="1">Sheet1!$A$2:$B$19</definedName>
    <definedName name="_xlchart.v1.1" hidden="1">Sheet1!$C$1</definedName>
    <definedName name="_xlchart.v1.2" hidden="1">Sheet1!$C$2:$C$19</definedName>
    <definedName name="_xlchart.v1.3" hidden="1">Sheet1!$D$1</definedName>
    <definedName name="_xlchart.v1.4" hidden="1">Sheet1!$D$2:$D$19</definedName>
  </definedNames>
  <calcPr calcId="191028"/>
  <pivotCaches>
    <pivotCache cacheId="9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B1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F8" i="1"/>
  <c r="F9" i="1"/>
  <c r="F10" i="1"/>
  <c r="F2" i="1"/>
  <c r="F3" i="1"/>
  <c r="F4" i="1"/>
  <c r="F5" i="1"/>
  <c r="F6" i="1"/>
  <c r="F7" i="1"/>
  <c r="F11" i="1"/>
  <c r="F12" i="1"/>
  <c r="F13" i="1"/>
  <c r="F14" i="1"/>
  <c r="F15" i="1"/>
  <c r="F16" i="1"/>
  <c r="F17" i="1"/>
  <c r="F18" i="1"/>
  <c r="F19" i="1"/>
  <c r="B4" i="2" l="1"/>
  <c r="B3" i="2"/>
</calcChain>
</file>

<file path=xl/sharedStrings.xml><?xml version="1.0" encoding="utf-8"?>
<sst xmlns="http://schemas.openxmlformats.org/spreadsheetml/2006/main" count="124" uniqueCount="68">
  <si>
    <t>Department</t>
  </si>
  <si>
    <t>Category</t>
  </si>
  <si>
    <t>Expense ($)</t>
  </si>
  <si>
    <t>Budget ($)</t>
  </si>
  <si>
    <t xml:space="preserve">Budget status </t>
  </si>
  <si>
    <t>Difference ($)</t>
  </si>
  <si>
    <t>HR</t>
  </si>
  <si>
    <t>Recruitment</t>
  </si>
  <si>
    <t>Sales</t>
  </si>
  <si>
    <t>Training</t>
  </si>
  <si>
    <t>Finance</t>
  </si>
  <si>
    <t>Auditing</t>
  </si>
  <si>
    <t>Customer Success</t>
  </si>
  <si>
    <t>Support Tools</t>
  </si>
  <si>
    <t>IT</t>
  </si>
  <si>
    <t>Software</t>
  </si>
  <si>
    <t>Payroll</t>
  </si>
  <si>
    <t>Subscriptions</t>
  </si>
  <si>
    <t>Legal</t>
  </si>
  <si>
    <t>Licensing</t>
  </si>
  <si>
    <t>Operations</t>
  </si>
  <si>
    <t>Logistics</t>
  </si>
  <si>
    <t>Travel</t>
  </si>
  <si>
    <t>Marketing</t>
  </si>
  <si>
    <t>Events</t>
  </si>
  <si>
    <t>Hardware</t>
  </si>
  <si>
    <t>Facilities</t>
  </si>
  <si>
    <t>Supplies</t>
  </si>
  <si>
    <t>Maintenance</t>
  </si>
  <si>
    <t>Ads</t>
  </si>
  <si>
    <t>Equipment</t>
  </si>
  <si>
    <t>Consulting</t>
  </si>
  <si>
    <t>Sum of Expense ($)</t>
  </si>
  <si>
    <t>Sum of Budget ($)</t>
  </si>
  <si>
    <t>On Budget</t>
  </si>
  <si>
    <t>Subscriptions Total</t>
  </si>
  <si>
    <t>Under Spent</t>
  </si>
  <si>
    <t>Support Tools Total</t>
  </si>
  <si>
    <t>Customer Success Total</t>
  </si>
  <si>
    <t>Over Spent</t>
  </si>
  <si>
    <t>Maintenance Total</t>
  </si>
  <si>
    <t>Supplies Total</t>
  </si>
  <si>
    <t>Facilities Total</t>
  </si>
  <si>
    <t>Auditing Total</t>
  </si>
  <si>
    <t>Payroll Total</t>
  </si>
  <si>
    <t>Finance Total</t>
  </si>
  <si>
    <t>Recruitment Total</t>
  </si>
  <si>
    <t>Training Total</t>
  </si>
  <si>
    <t>HR Total</t>
  </si>
  <si>
    <t>Hardware Total</t>
  </si>
  <si>
    <t>Software Total</t>
  </si>
  <si>
    <t>IT Total</t>
  </si>
  <si>
    <t>Consulting Total</t>
  </si>
  <si>
    <t>Licensing Total</t>
  </si>
  <si>
    <t>Legal Total</t>
  </si>
  <si>
    <t>Ads Total</t>
  </si>
  <si>
    <t>Events Total</t>
  </si>
  <si>
    <t>Marketing Total</t>
  </si>
  <si>
    <t>Equipment Total</t>
  </si>
  <si>
    <t>Logistics Total</t>
  </si>
  <si>
    <t>Operations Total</t>
  </si>
  <si>
    <t>Travel Total</t>
  </si>
  <si>
    <t>Sales Total</t>
  </si>
  <si>
    <t>Grand Total</t>
  </si>
  <si>
    <t>Total Expenses</t>
  </si>
  <si>
    <t>Total Budget</t>
  </si>
  <si>
    <t>Overspent Departments</t>
  </si>
  <si>
    <t>Under Budget 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</si>
</sst>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13">
    <dxf>
      <font>
        <color rgb="FFFF0000"/>
      </font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 adewale practice data.xlsx]Pivot table sheet!PivotTable2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vs Budget by Department</a:t>
            </a:r>
          </a:p>
        </c:rich>
      </c:tx>
      <c:layout>
        <c:manualLayout>
          <c:xMode val="edge"/>
          <c:yMode val="edge"/>
          <c:x val="0.33363155009116019"/>
          <c:y val="2.0047732696897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sheet'!$D$3</c:f>
              <c:strCache>
                <c:ptCount val="1"/>
                <c:pt idx="0">
                  <c:v>Sum of Expense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 sheet'!$A$4:$C$49</c:f>
              <c:multiLvlStrCache>
                <c:ptCount val="18"/>
                <c:lvl>
                  <c:pt idx="0">
                    <c:v>On Budget</c:v>
                  </c:pt>
                  <c:pt idx="1">
                    <c:v>Under Spent</c:v>
                  </c:pt>
                  <c:pt idx="2">
                    <c:v>Over Spent</c:v>
                  </c:pt>
                  <c:pt idx="3">
                    <c:v>Over Spent</c:v>
                  </c:pt>
                  <c:pt idx="4">
                    <c:v>Under Spent</c:v>
                  </c:pt>
                  <c:pt idx="5">
                    <c:v>On Budget</c:v>
                  </c:pt>
                  <c:pt idx="6">
                    <c:v>Under Spent</c:v>
                  </c:pt>
                  <c:pt idx="7">
                    <c:v>Under Spent</c:v>
                  </c:pt>
                  <c:pt idx="8">
                    <c:v>Over Spent</c:v>
                  </c:pt>
                  <c:pt idx="9">
                    <c:v>On Budget</c:v>
                  </c:pt>
                  <c:pt idx="10">
                    <c:v>Over Spent</c:v>
                  </c:pt>
                  <c:pt idx="11">
                    <c:v>On Budget</c:v>
                  </c:pt>
                  <c:pt idx="12">
                    <c:v>Over Spent</c:v>
                  </c:pt>
                  <c:pt idx="13">
                    <c:v>Over Spent</c:v>
                  </c:pt>
                  <c:pt idx="14">
                    <c:v>Over Spent</c:v>
                  </c:pt>
                  <c:pt idx="15">
                    <c:v>Over Spent</c:v>
                  </c:pt>
                  <c:pt idx="16">
                    <c:v>Under Spent</c:v>
                  </c:pt>
                  <c:pt idx="17">
                    <c:v>Over Spent</c:v>
                  </c:pt>
                </c:lvl>
                <c:lvl>
                  <c:pt idx="0">
                    <c:v>Subscriptions</c:v>
                  </c:pt>
                  <c:pt idx="1">
                    <c:v>Support Tools</c:v>
                  </c:pt>
                  <c:pt idx="2">
                    <c:v>Maintenance</c:v>
                  </c:pt>
                  <c:pt idx="3">
                    <c:v>Supplies</c:v>
                  </c:pt>
                  <c:pt idx="4">
                    <c:v>Auditing</c:v>
                  </c:pt>
                  <c:pt idx="5">
                    <c:v>Payroll</c:v>
                  </c:pt>
                  <c:pt idx="6">
                    <c:v>Recruitment</c:v>
                  </c:pt>
                  <c:pt idx="7">
                    <c:v>Training</c:v>
                  </c:pt>
                  <c:pt idx="8">
                    <c:v>Hardware</c:v>
                  </c:pt>
                  <c:pt idx="9">
                    <c:v>Software</c:v>
                  </c:pt>
                  <c:pt idx="10">
                    <c:v>Consulting</c:v>
                  </c:pt>
                  <c:pt idx="11">
                    <c:v>Licensing</c:v>
                  </c:pt>
                  <c:pt idx="12">
                    <c:v>Ads</c:v>
                  </c:pt>
                  <c:pt idx="13">
                    <c:v>Events</c:v>
                  </c:pt>
                  <c:pt idx="14">
                    <c:v>Equipment</c:v>
                  </c:pt>
                  <c:pt idx="15">
                    <c:v>Logistics</c:v>
                  </c:pt>
                  <c:pt idx="16">
                    <c:v>Training</c:v>
                  </c:pt>
                  <c:pt idx="17">
                    <c:v>Travel</c:v>
                  </c:pt>
                </c:lvl>
                <c:lvl>
                  <c:pt idx="0">
                    <c:v>Customer Success</c:v>
                  </c:pt>
                  <c:pt idx="2">
                    <c:v>Facilities</c:v>
                  </c:pt>
                  <c:pt idx="4">
                    <c:v>Finance</c:v>
                  </c:pt>
                  <c:pt idx="6">
                    <c:v>HR</c:v>
                  </c:pt>
                  <c:pt idx="8">
                    <c:v>IT</c:v>
                  </c:pt>
                  <c:pt idx="10">
                    <c:v>Legal</c:v>
                  </c:pt>
                  <c:pt idx="12">
                    <c:v>Marketing</c:v>
                  </c:pt>
                  <c:pt idx="14">
                    <c:v>Operations</c:v>
                  </c:pt>
                  <c:pt idx="16">
                    <c:v>Sales</c:v>
                  </c:pt>
                </c:lvl>
              </c:multiLvlStrCache>
            </c:multiLvlStrRef>
          </c:cat>
          <c:val>
            <c:numRef>
              <c:f>'Pivot table sheet'!$D$4:$D$49</c:f>
              <c:numCache>
                <c:formatCode>General</c:formatCode>
                <c:ptCount val="18"/>
                <c:pt idx="0">
                  <c:v>1800</c:v>
                </c:pt>
                <c:pt idx="1">
                  <c:v>1600</c:v>
                </c:pt>
                <c:pt idx="2">
                  <c:v>2800</c:v>
                </c:pt>
                <c:pt idx="3">
                  <c:v>1200</c:v>
                </c:pt>
                <c:pt idx="4">
                  <c:v>2700</c:v>
                </c:pt>
                <c:pt idx="5">
                  <c:v>7000</c:v>
                </c:pt>
                <c:pt idx="6">
                  <c:v>1300</c:v>
                </c:pt>
                <c:pt idx="7">
                  <c:v>1500</c:v>
                </c:pt>
                <c:pt idx="8">
                  <c:v>3400</c:v>
                </c:pt>
                <c:pt idx="9">
                  <c:v>3000</c:v>
                </c:pt>
                <c:pt idx="10">
                  <c:v>3500</c:v>
                </c:pt>
                <c:pt idx="11">
                  <c:v>2000</c:v>
                </c:pt>
                <c:pt idx="12">
                  <c:v>2500</c:v>
                </c:pt>
                <c:pt idx="13">
                  <c:v>1700</c:v>
                </c:pt>
                <c:pt idx="14">
                  <c:v>4000</c:v>
                </c:pt>
                <c:pt idx="15">
                  <c:v>3100</c:v>
                </c:pt>
                <c:pt idx="16">
                  <c:v>1900</c:v>
                </c:pt>
                <c:pt idx="17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7-4D10-9CB4-2E73EC6F30C3}"/>
            </c:ext>
          </c:extLst>
        </c:ser>
        <c:ser>
          <c:idx val="1"/>
          <c:order val="1"/>
          <c:tx>
            <c:strRef>
              <c:f>'Pivot table sheet'!$E$3</c:f>
              <c:strCache>
                <c:ptCount val="1"/>
                <c:pt idx="0">
                  <c:v>Sum of Budget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 sheet'!$A$4:$C$49</c:f>
              <c:multiLvlStrCache>
                <c:ptCount val="18"/>
                <c:lvl>
                  <c:pt idx="0">
                    <c:v>On Budget</c:v>
                  </c:pt>
                  <c:pt idx="1">
                    <c:v>Under Spent</c:v>
                  </c:pt>
                  <c:pt idx="2">
                    <c:v>Over Spent</c:v>
                  </c:pt>
                  <c:pt idx="3">
                    <c:v>Over Spent</c:v>
                  </c:pt>
                  <c:pt idx="4">
                    <c:v>Under Spent</c:v>
                  </c:pt>
                  <c:pt idx="5">
                    <c:v>On Budget</c:v>
                  </c:pt>
                  <c:pt idx="6">
                    <c:v>Under Spent</c:v>
                  </c:pt>
                  <c:pt idx="7">
                    <c:v>Under Spent</c:v>
                  </c:pt>
                  <c:pt idx="8">
                    <c:v>Over Spent</c:v>
                  </c:pt>
                  <c:pt idx="9">
                    <c:v>On Budget</c:v>
                  </c:pt>
                  <c:pt idx="10">
                    <c:v>Over Spent</c:v>
                  </c:pt>
                  <c:pt idx="11">
                    <c:v>On Budget</c:v>
                  </c:pt>
                  <c:pt idx="12">
                    <c:v>Over Spent</c:v>
                  </c:pt>
                  <c:pt idx="13">
                    <c:v>Over Spent</c:v>
                  </c:pt>
                  <c:pt idx="14">
                    <c:v>Over Spent</c:v>
                  </c:pt>
                  <c:pt idx="15">
                    <c:v>Over Spent</c:v>
                  </c:pt>
                  <c:pt idx="16">
                    <c:v>Under Spent</c:v>
                  </c:pt>
                  <c:pt idx="17">
                    <c:v>Over Spent</c:v>
                  </c:pt>
                </c:lvl>
                <c:lvl>
                  <c:pt idx="0">
                    <c:v>Subscriptions</c:v>
                  </c:pt>
                  <c:pt idx="1">
                    <c:v>Support Tools</c:v>
                  </c:pt>
                  <c:pt idx="2">
                    <c:v>Maintenance</c:v>
                  </c:pt>
                  <c:pt idx="3">
                    <c:v>Supplies</c:v>
                  </c:pt>
                  <c:pt idx="4">
                    <c:v>Auditing</c:v>
                  </c:pt>
                  <c:pt idx="5">
                    <c:v>Payroll</c:v>
                  </c:pt>
                  <c:pt idx="6">
                    <c:v>Recruitment</c:v>
                  </c:pt>
                  <c:pt idx="7">
                    <c:v>Training</c:v>
                  </c:pt>
                  <c:pt idx="8">
                    <c:v>Hardware</c:v>
                  </c:pt>
                  <c:pt idx="9">
                    <c:v>Software</c:v>
                  </c:pt>
                  <c:pt idx="10">
                    <c:v>Consulting</c:v>
                  </c:pt>
                  <c:pt idx="11">
                    <c:v>Licensing</c:v>
                  </c:pt>
                  <c:pt idx="12">
                    <c:v>Ads</c:v>
                  </c:pt>
                  <c:pt idx="13">
                    <c:v>Events</c:v>
                  </c:pt>
                  <c:pt idx="14">
                    <c:v>Equipment</c:v>
                  </c:pt>
                  <c:pt idx="15">
                    <c:v>Logistics</c:v>
                  </c:pt>
                  <c:pt idx="16">
                    <c:v>Training</c:v>
                  </c:pt>
                  <c:pt idx="17">
                    <c:v>Travel</c:v>
                  </c:pt>
                </c:lvl>
                <c:lvl>
                  <c:pt idx="0">
                    <c:v>Customer Success</c:v>
                  </c:pt>
                  <c:pt idx="2">
                    <c:v>Facilities</c:v>
                  </c:pt>
                  <c:pt idx="4">
                    <c:v>Finance</c:v>
                  </c:pt>
                  <c:pt idx="6">
                    <c:v>HR</c:v>
                  </c:pt>
                  <c:pt idx="8">
                    <c:v>IT</c:v>
                  </c:pt>
                  <c:pt idx="10">
                    <c:v>Legal</c:v>
                  </c:pt>
                  <c:pt idx="12">
                    <c:v>Marketing</c:v>
                  </c:pt>
                  <c:pt idx="14">
                    <c:v>Operations</c:v>
                  </c:pt>
                  <c:pt idx="16">
                    <c:v>Sales</c:v>
                  </c:pt>
                </c:lvl>
              </c:multiLvlStrCache>
            </c:multiLvlStrRef>
          </c:cat>
          <c:val>
            <c:numRef>
              <c:f>'Pivot table sheet'!$E$4:$E$49</c:f>
              <c:numCache>
                <c:formatCode>General</c:formatCode>
                <c:ptCount val="18"/>
                <c:pt idx="0">
                  <c:v>1800</c:v>
                </c:pt>
                <c:pt idx="1">
                  <c:v>1700</c:v>
                </c:pt>
                <c:pt idx="2">
                  <c:v>2500</c:v>
                </c:pt>
                <c:pt idx="3">
                  <c:v>1000</c:v>
                </c:pt>
                <c:pt idx="4">
                  <c:v>2800</c:v>
                </c:pt>
                <c:pt idx="5">
                  <c:v>7000</c:v>
                </c:pt>
                <c:pt idx="6">
                  <c:v>2000</c:v>
                </c:pt>
                <c:pt idx="7">
                  <c:v>2000</c:v>
                </c:pt>
                <c:pt idx="8">
                  <c:v>3200</c:v>
                </c:pt>
                <c:pt idx="9">
                  <c:v>3000</c:v>
                </c:pt>
                <c:pt idx="10">
                  <c:v>3000</c:v>
                </c:pt>
                <c:pt idx="11">
                  <c:v>2000</c:v>
                </c:pt>
                <c:pt idx="12">
                  <c:v>2000</c:v>
                </c:pt>
                <c:pt idx="13">
                  <c:v>1500</c:v>
                </c:pt>
                <c:pt idx="14">
                  <c:v>3500</c:v>
                </c:pt>
                <c:pt idx="15">
                  <c:v>3000</c:v>
                </c:pt>
                <c:pt idx="16">
                  <c:v>2500</c:v>
                </c:pt>
                <c:pt idx="1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7-4D10-9CB4-2E73EC6F3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73864"/>
        <c:axId val="100488200"/>
      </c:barChart>
      <c:catAx>
        <c:axId val="100473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8200"/>
        <c:crosses val="autoZero"/>
        <c:auto val="1"/>
        <c:lblAlgn val="ctr"/>
        <c:lblOffset val="100"/>
        <c:noMultiLvlLbl val="0"/>
      </c:catAx>
      <c:valAx>
        <c:axId val="10048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3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</cx:chartData>
  <cx:chart>
    <cx:title pos="t" align="ctr" overlay="0">
      <cx:tx>
        <cx:txData>
          <cx:v>Expense Distribution by Department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Expense Distribution by Department</a:t>
          </a:r>
        </a:p>
      </cx:txPr>
    </cx:title>
    <cx:plotArea>
      <cx:plotAreaRegion>
        <cx:series layoutId="treemap" uniqueId="{00000000-9602-49F3-9D51-EA3E5B019924}" formatIdx="0">
          <cx:tx>
            <cx:txData>
              <cx:f>_xlchart.v1.1</cx:f>
              <cx:v>Expense ($)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00000001-9602-49F3-9D51-EA3E5B019924}" formatIdx="1">
          <cx:tx>
            <cx:txData>
              <cx:f>_xlchart.v1.3</cx:f>
              <cx:v>Budget ($)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9</xdr:col>
      <xdr:colOff>95250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D0418-AAD0-4715-94CE-F6BED1F09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895350</xdr:colOff>
      <xdr:row>30</xdr:row>
      <xdr:rowOff>123825</xdr:rowOff>
    </xdr:from>
    <xdr:to>
      <xdr:col>14</xdr:col>
      <xdr:colOff>381000</xdr:colOff>
      <xdr:row>49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3EDE92A-ADB6-4C60-B06A-AFC4F06B4A47}"/>
                </a:ext>
                <a:ext uri="{147F2762-F138-4A5C-976F-8EAC2B608ADB}">
                  <a16:predDERef xmlns:a16="http://schemas.microsoft.com/office/drawing/2014/main" pred="{DA8D0418-AAD0-4715-94CE-F6BED1F099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6.597207638886" createdVersion="8" refreshedVersion="8" minRefreshableVersion="3" recordCount="19" xr:uid="{260590C4-B4AA-4FFA-A169-A4AB9D268E45}">
  <cacheSource type="worksheet">
    <worksheetSource ref="A1:F1048576" sheet="Sheet1"/>
  </cacheSource>
  <cacheFields count="6">
    <cacheField name="Department" numFmtId="0">
      <sharedItems containsBlank="1" count="10">
        <s v="HR"/>
        <s v="Sales"/>
        <s v="Finance"/>
        <s v="Customer Success"/>
        <s v="IT"/>
        <s v="Legal"/>
        <s v="Operations"/>
        <s v="Marketing"/>
        <s v="Facilities"/>
        <m/>
      </sharedItems>
    </cacheField>
    <cacheField name="Category" numFmtId="0">
      <sharedItems containsBlank="1" count="18">
        <s v="Recruitment"/>
        <s v="Training"/>
        <s v="Auditing"/>
        <s v="Support Tools"/>
        <s v="Software"/>
        <s v="Payroll"/>
        <s v="Subscriptions"/>
        <s v="Licensing"/>
        <s v="Logistics"/>
        <s v="Travel"/>
        <s v="Events"/>
        <s v="Hardware"/>
        <s v="Supplies"/>
        <s v="Maintenance"/>
        <s v="Ads"/>
        <s v="Equipment"/>
        <s v="Consulting"/>
        <m/>
      </sharedItems>
    </cacheField>
    <cacheField name="Expense ($)" numFmtId="0">
      <sharedItems containsString="0" containsBlank="1" containsNumber="1" containsInteger="1" minValue="1200" maxValue="7000"/>
    </cacheField>
    <cacheField name="Budget ($)" numFmtId="0">
      <sharedItems containsString="0" containsBlank="1" containsNumber="1" containsInteger="1" minValue="1000" maxValue="7000"/>
    </cacheField>
    <cacheField name="Budget status " numFmtId="0">
      <sharedItems containsBlank="1" count="4">
        <s v="Under Spent"/>
        <s v="On Budget"/>
        <s v="Over Spent"/>
        <m/>
      </sharedItems>
    </cacheField>
    <cacheField name="Difference ($)" numFmtId="0">
      <sharedItems containsString="0" containsBlank="1" containsNumber="1" containsInteger="1" minValue="-500" maxValue="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n v="1300"/>
    <n v="2000"/>
    <x v="0"/>
    <n v="700"/>
  </r>
  <r>
    <x v="1"/>
    <x v="1"/>
    <n v="1900"/>
    <n v="2500"/>
    <x v="0"/>
    <n v="600"/>
  </r>
  <r>
    <x v="0"/>
    <x v="1"/>
    <n v="1500"/>
    <n v="2000"/>
    <x v="0"/>
    <n v="500"/>
  </r>
  <r>
    <x v="2"/>
    <x v="2"/>
    <n v="2700"/>
    <n v="2800"/>
    <x v="0"/>
    <n v="100"/>
  </r>
  <r>
    <x v="3"/>
    <x v="3"/>
    <n v="1600"/>
    <n v="1700"/>
    <x v="0"/>
    <n v="100"/>
  </r>
  <r>
    <x v="4"/>
    <x v="4"/>
    <n v="3000"/>
    <n v="3000"/>
    <x v="1"/>
    <n v="0"/>
  </r>
  <r>
    <x v="2"/>
    <x v="5"/>
    <n v="7000"/>
    <n v="7000"/>
    <x v="1"/>
    <n v="0"/>
  </r>
  <r>
    <x v="3"/>
    <x v="6"/>
    <n v="1800"/>
    <n v="1800"/>
    <x v="1"/>
    <n v="0"/>
  </r>
  <r>
    <x v="5"/>
    <x v="7"/>
    <n v="2000"/>
    <n v="2000"/>
    <x v="1"/>
    <n v="0"/>
  </r>
  <r>
    <x v="6"/>
    <x v="8"/>
    <n v="3100"/>
    <n v="3000"/>
    <x v="2"/>
    <n v="-100"/>
  </r>
  <r>
    <x v="1"/>
    <x v="9"/>
    <n v="2200"/>
    <n v="2000"/>
    <x v="2"/>
    <n v="-200"/>
  </r>
  <r>
    <x v="7"/>
    <x v="10"/>
    <n v="1700"/>
    <n v="1500"/>
    <x v="2"/>
    <n v="-200"/>
  </r>
  <r>
    <x v="4"/>
    <x v="11"/>
    <n v="3400"/>
    <n v="3200"/>
    <x v="2"/>
    <n v="-200"/>
  </r>
  <r>
    <x v="8"/>
    <x v="12"/>
    <n v="1200"/>
    <n v="1000"/>
    <x v="2"/>
    <n v="-200"/>
  </r>
  <r>
    <x v="8"/>
    <x v="13"/>
    <n v="2800"/>
    <n v="2500"/>
    <x v="2"/>
    <n v="-300"/>
  </r>
  <r>
    <x v="7"/>
    <x v="14"/>
    <n v="2500"/>
    <n v="2000"/>
    <x v="2"/>
    <n v="-500"/>
  </r>
  <r>
    <x v="6"/>
    <x v="15"/>
    <n v="4000"/>
    <n v="3500"/>
    <x v="2"/>
    <n v="-500"/>
  </r>
  <r>
    <x v="5"/>
    <x v="16"/>
    <n v="3500"/>
    <n v="3000"/>
    <x v="2"/>
    <n v="-500"/>
  </r>
  <r>
    <x v="9"/>
    <x v="17"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39EA7-B6D8-4786-9C65-E0FBBFFDC7AB}" name="PivotTable2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49" firstHeaderRow="0" firstDataRow="1" firstDataCol="3"/>
  <pivotFields count="6">
    <pivotField axis="axisRow" compact="0" outline="0" showAll="0">
      <items count="11">
        <item x="3"/>
        <item x="8"/>
        <item x="2"/>
        <item x="0"/>
        <item x="4"/>
        <item x="5"/>
        <item x="7"/>
        <item x="6"/>
        <item x="1"/>
        <item h="1" x="9"/>
        <item t="default"/>
      </items>
    </pivotField>
    <pivotField axis="axisRow" compact="0" outline="0" showAll="0">
      <items count="19">
        <item x="14"/>
        <item x="2"/>
        <item x="16"/>
        <item x="15"/>
        <item x="10"/>
        <item x="11"/>
        <item x="7"/>
        <item x="8"/>
        <item x="13"/>
        <item x="5"/>
        <item x="0"/>
        <item x="4"/>
        <item x="6"/>
        <item x="12"/>
        <item x="3"/>
        <item x="1"/>
        <item x="9"/>
        <item h="1" x="17"/>
        <item t="default"/>
      </items>
    </pivotField>
    <pivotField dataField="1" compact="0" outline="0" showAll="0"/>
    <pivotField dataField="1"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</pivotFields>
  <rowFields count="3">
    <field x="0"/>
    <field x="1"/>
    <field x="4"/>
  </rowFields>
  <rowItems count="46">
    <i>
      <x/>
      <x v="12"/>
      <x/>
    </i>
    <i t="default" r="1">
      <x v="12"/>
    </i>
    <i r="1">
      <x v="14"/>
      <x v="2"/>
    </i>
    <i t="default" r="1">
      <x v="14"/>
    </i>
    <i t="default">
      <x/>
    </i>
    <i>
      <x v="1"/>
      <x v="8"/>
      <x v="1"/>
    </i>
    <i t="default" r="1">
      <x v="8"/>
    </i>
    <i r="1">
      <x v="13"/>
      <x v="1"/>
    </i>
    <i t="default" r="1">
      <x v="13"/>
    </i>
    <i t="default">
      <x v="1"/>
    </i>
    <i>
      <x v="2"/>
      <x v="1"/>
      <x v="2"/>
    </i>
    <i t="default" r="1">
      <x v="1"/>
    </i>
    <i r="1">
      <x v="9"/>
      <x/>
    </i>
    <i t="default" r="1">
      <x v="9"/>
    </i>
    <i t="default">
      <x v="2"/>
    </i>
    <i>
      <x v="3"/>
      <x v="10"/>
      <x v="2"/>
    </i>
    <i t="default" r="1">
      <x v="10"/>
    </i>
    <i r="1">
      <x v="15"/>
      <x v="2"/>
    </i>
    <i t="default" r="1">
      <x v="15"/>
    </i>
    <i t="default">
      <x v="3"/>
    </i>
    <i>
      <x v="4"/>
      <x v="5"/>
      <x v="1"/>
    </i>
    <i t="default" r="1">
      <x v="5"/>
    </i>
    <i r="1">
      <x v="11"/>
      <x/>
    </i>
    <i t="default" r="1">
      <x v="11"/>
    </i>
    <i t="default">
      <x v="4"/>
    </i>
    <i>
      <x v="5"/>
      <x v="2"/>
      <x v="1"/>
    </i>
    <i t="default" r="1">
      <x v="2"/>
    </i>
    <i r="1">
      <x v="6"/>
      <x/>
    </i>
    <i t="default" r="1">
      <x v="6"/>
    </i>
    <i t="default">
      <x v="5"/>
    </i>
    <i>
      <x v="6"/>
      <x/>
      <x v="1"/>
    </i>
    <i t="default" r="1">
      <x/>
    </i>
    <i r="1">
      <x v="4"/>
      <x v="1"/>
    </i>
    <i t="default" r="1">
      <x v="4"/>
    </i>
    <i t="default">
      <x v="6"/>
    </i>
    <i>
      <x v="7"/>
      <x v="3"/>
      <x v="1"/>
    </i>
    <i t="default" r="1">
      <x v="3"/>
    </i>
    <i r="1">
      <x v="7"/>
      <x v="1"/>
    </i>
    <i t="default" r="1">
      <x v="7"/>
    </i>
    <i t="default">
      <x v="7"/>
    </i>
    <i>
      <x v="8"/>
      <x v="15"/>
      <x v="2"/>
    </i>
    <i t="default" r="1">
      <x v="15"/>
    </i>
    <i r="1">
      <x v="16"/>
      <x v="1"/>
    </i>
    <i t="default" r="1">
      <x v="16"/>
    </i>
    <i t="default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pense ($)" fld="2" baseField="0" baseItem="0"/>
    <dataField name="Sum of Budget ($)" fld="3" baseField="0" baseItem="0"/>
  </dataFields>
  <chartFormats count="8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D6CDA4-081C-4C66-B456-7C71228FB228}" name="Table3" displayName="Table3" ref="A1:D19" totalsRowShown="0" headerRowDxfId="7" dataDxfId="6">
  <autoFilter ref="A1:D19" xr:uid="{A7D6CDA4-081C-4C66-B456-7C71228FB228}"/>
  <tableColumns count="4">
    <tableColumn id="1" xr3:uid="{05C176E1-7852-4622-8980-623C95C06093}" name="Department" dataDxfId="5"/>
    <tableColumn id="2" xr3:uid="{A3A299BF-B46F-4948-8372-6AA9FA254CC7}" name="Category" dataDxfId="4"/>
    <tableColumn id="3" xr3:uid="{7AD05969-C713-478E-8625-6D3C3A40DA17}" name="Expense ($)" dataDxfId="3"/>
    <tableColumn id="4" xr3:uid="{B680F156-184C-4272-81EC-EE9AD6B2F374}" name="Budget ($)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0B737D-D359-48A2-A1EF-552269C866F8}" name="Table4" displayName="Table4" ref="E1:F19" totalsRowShown="0">
  <autoFilter ref="E1:F19" xr:uid="{EB0B737D-D359-48A2-A1EF-552269C866F8}"/>
  <tableColumns count="2">
    <tableColumn id="1" xr3:uid="{E7CAA72A-A0E1-473B-89AC-08FF4C343DBF}" name="Budget status " dataDxfId="1">
      <calculatedColumnFormula>IF(C2&gt;D2,"Over Spent",IF(C2=D2,"On Budget","Under Spent"))</calculatedColumnFormula>
    </tableColumn>
    <tableColumn id="2" xr3:uid="{185FCDC9-8EA7-49EA-8378-99CFC6BABAF5}" name="Difference ($)" dataDxfId="0">
      <calculatedColumnFormula>D2-C2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EC93-5E6E-454A-8E3F-C9EA27F86E50}">
  <dimension ref="A1:F19"/>
  <sheetViews>
    <sheetView workbookViewId="0">
      <selection activeCell="D9" sqref="D9"/>
    </sheetView>
  </sheetViews>
  <sheetFormatPr defaultRowHeight="15"/>
  <cols>
    <col min="1" max="1" width="11.42578125" bestFit="1" customWidth="1"/>
    <col min="2" max="2" width="11.140625" bestFit="1" customWidth="1"/>
    <col min="3" max="4" width="11.42578125" bestFit="1" customWidth="1"/>
    <col min="5" max="5" width="15.7109375" bestFit="1" customWidth="1"/>
    <col min="6" max="6" width="15.28515625" bestFit="1" customWidth="1"/>
    <col min="7" max="7" width="13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29.25">
      <c r="A2" s="2" t="s">
        <v>6</v>
      </c>
      <c r="B2" s="2" t="s">
        <v>7</v>
      </c>
      <c r="C2" s="2">
        <v>1300</v>
      </c>
      <c r="D2" s="2">
        <v>2000</v>
      </c>
      <c r="E2" t="str">
        <f>IF(C2&gt;D2,"Over Spent",IF(C2=D2,"On Budget","Under Spent"))</f>
        <v>Under Spent</v>
      </c>
      <c r="F2" s="3">
        <f>D2-C2</f>
        <v>700</v>
      </c>
    </row>
    <row r="3" spans="1:6">
      <c r="A3" s="2" t="s">
        <v>8</v>
      </c>
      <c r="B3" s="2" t="s">
        <v>9</v>
      </c>
      <c r="C3" s="2">
        <v>1900</v>
      </c>
      <c r="D3" s="2">
        <v>2500</v>
      </c>
      <c r="E3" t="str">
        <f>IF(C3&gt;D3,"Over Spent",IF(C3=D3,"On Budget","Under Spent"))</f>
        <v>Under Spent</v>
      </c>
      <c r="F3" s="3">
        <f>D3-C3</f>
        <v>600</v>
      </c>
    </row>
    <row r="4" spans="1:6">
      <c r="A4" s="2" t="s">
        <v>6</v>
      </c>
      <c r="B4" s="2" t="s">
        <v>9</v>
      </c>
      <c r="C4" s="2">
        <v>1500</v>
      </c>
      <c r="D4" s="2">
        <v>2000</v>
      </c>
      <c r="E4" t="str">
        <f>IF(C4&gt;D4,"Over Spent",IF(C4=D4,"On Budget","Under Spent"))</f>
        <v>Under Spent</v>
      </c>
      <c r="F4" s="3">
        <f>D4-C4</f>
        <v>500</v>
      </c>
    </row>
    <row r="5" spans="1:6">
      <c r="A5" s="2" t="s">
        <v>10</v>
      </c>
      <c r="B5" s="2" t="s">
        <v>11</v>
      </c>
      <c r="C5" s="2">
        <v>2700</v>
      </c>
      <c r="D5" s="2">
        <v>2800</v>
      </c>
      <c r="E5" t="str">
        <f>IF(C5&gt;D5,"Over Spent",IF(C5=D5,"On Budget","Under Spent"))</f>
        <v>Under Spent</v>
      </c>
      <c r="F5" s="3">
        <f>D5-C5</f>
        <v>100</v>
      </c>
    </row>
    <row r="6" spans="1:6" ht="29.25">
      <c r="A6" s="2" t="s">
        <v>12</v>
      </c>
      <c r="B6" s="2" t="s">
        <v>13</v>
      </c>
      <c r="C6" s="2">
        <v>1600</v>
      </c>
      <c r="D6" s="2">
        <v>1700</v>
      </c>
      <c r="E6" t="str">
        <f>IF(C6&gt;D6,"Over Spent",IF(C6=D6,"On Budget","Under Spent"))</f>
        <v>Under Spent</v>
      </c>
      <c r="F6" s="3">
        <f>D6-C6</f>
        <v>100</v>
      </c>
    </row>
    <row r="7" spans="1:6">
      <c r="A7" s="2" t="s">
        <v>14</v>
      </c>
      <c r="B7" s="2" t="s">
        <v>15</v>
      </c>
      <c r="C7" s="2">
        <v>3000</v>
      </c>
      <c r="D7" s="2">
        <v>3000</v>
      </c>
      <c r="E7" t="str">
        <f>IF(C7&gt;D7,"Over Spent",IF(C7=D7,"On Budget","Under Spent"))</f>
        <v>On Budget</v>
      </c>
      <c r="F7" s="4">
        <f>D7-C7</f>
        <v>0</v>
      </c>
    </row>
    <row r="8" spans="1:6">
      <c r="A8" s="2" t="s">
        <v>10</v>
      </c>
      <c r="B8" s="2" t="s">
        <v>16</v>
      </c>
      <c r="C8" s="2">
        <v>7000</v>
      </c>
      <c r="D8" s="2">
        <v>7000</v>
      </c>
      <c r="E8" t="str">
        <f>IF(C8&gt;D8,"Over Spent",IF(C8=D8,"On Budget","Under Spent"))</f>
        <v>On Budget</v>
      </c>
      <c r="F8" s="4">
        <f>D8-C8</f>
        <v>0</v>
      </c>
    </row>
    <row r="9" spans="1:6" ht="29.25">
      <c r="A9" s="2" t="s">
        <v>12</v>
      </c>
      <c r="B9" s="2" t="s">
        <v>17</v>
      </c>
      <c r="C9" s="2">
        <v>1800</v>
      </c>
      <c r="D9" s="2">
        <v>1800</v>
      </c>
      <c r="E9" t="str">
        <f>IF(C9&gt;D9,"Over Spent",IF(C9=D9,"On Budget","Under Spent"))</f>
        <v>On Budget</v>
      </c>
      <c r="F9" s="4">
        <f>D9-C9</f>
        <v>0</v>
      </c>
    </row>
    <row r="10" spans="1:6">
      <c r="A10" s="2" t="s">
        <v>18</v>
      </c>
      <c r="B10" s="2" t="s">
        <v>19</v>
      </c>
      <c r="C10" s="2">
        <v>2000</v>
      </c>
      <c r="D10" s="2">
        <v>2000</v>
      </c>
      <c r="E10" t="str">
        <f>IF(C10&gt;D10,"Over Spent",IF(C10=D10,"On Budget","Under Spent"))</f>
        <v>On Budget</v>
      </c>
      <c r="F10" s="4">
        <f>D10-C10</f>
        <v>0</v>
      </c>
    </row>
    <row r="11" spans="1:6">
      <c r="A11" s="2" t="s">
        <v>20</v>
      </c>
      <c r="B11" s="2" t="s">
        <v>21</v>
      </c>
      <c r="C11" s="2">
        <v>3100</v>
      </c>
      <c r="D11" s="2">
        <v>3000</v>
      </c>
      <c r="E11" t="str">
        <f>IF(C11&gt;D11,"Over Spent",IF(C11=D11,"On Budget","Under Spent"))</f>
        <v>Over Spent</v>
      </c>
      <c r="F11" s="3">
        <f>D11-C11</f>
        <v>-100</v>
      </c>
    </row>
    <row r="12" spans="1:6">
      <c r="A12" s="2" t="s">
        <v>8</v>
      </c>
      <c r="B12" s="2" t="s">
        <v>22</v>
      </c>
      <c r="C12" s="2">
        <v>2200</v>
      </c>
      <c r="D12" s="2">
        <v>2000</v>
      </c>
      <c r="E12" t="str">
        <f>IF(C12&gt;D12,"Over Spent",IF(C12=D12,"On Budget","Under Spent"))</f>
        <v>Over Spent</v>
      </c>
      <c r="F12" s="3">
        <f>D12-C12</f>
        <v>-200</v>
      </c>
    </row>
    <row r="13" spans="1:6">
      <c r="A13" s="2" t="s">
        <v>23</v>
      </c>
      <c r="B13" s="2" t="s">
        <v>24</v>
      </c>
      <c r="C13" s="2">
        <v>1700</v>
      </c>
      <c r="D13" s="2">
        <v>1500</v>
      </c>
      <c r="E13" t="str">
        <f>IF(C13&gt;D13,"Over Spent",IF(C13=D13,"On Budget","Under Spent"))</f>
        <v>Over Spent</v>
      </c>
      <c r="F13" s="3">
        <f>D13-C13</f>
        <v>-200</v>
      </c>
    </row>
    <row r="14" spans="1:6">
      <c r="A14" s="2" t="s">
        <v>14</v>
      </c>
      <c r="B14" s="2" t="s">
        <v>25</v>
      </c>
      <c r="C14" s="2">
        <v>3400</v>
      </c>
      <c r="D14" s="2">
        <v>3200</v>
      </c>
      <c r="E14" t="str">
        <f>IF(C14&gt;D14,"Over Spent",IF(C14=D14,"On Budget","Under Spent"))</f>
        <v>Over Spent</v>
      </c>
      <c r="F14" s="3">
        <f>D14-C14</f>
        <v>-200</v>
      </c>
    </row>
    <row r="15" spans="1:6">
      <c r="A15" s="2" t="s">
        <v>26</v>
      </c>
      <c r="B15" s="2" t="s">
        <v>27</v>
      </c>
      <c r="C15" s="2">
        <v>1200</v>
      </c>
      <c r="D15" s="2">
        <v>1000</v>
      </c>
      <c r="E15" t="str">
        <f>IF(C15&gt;D15,"Over Spent",IF(C15=D15,"On Budget","Under Spent"))</f>
        <v>Over Spent</v>
      </c>
      <c r="F15" s="3">
        <f>D15-C15</f>
        <v>-200</v>
      </c>
    </row>
    <row r="16" spans="1:6" ht="29.25">
      <c r="A16" s="2" t="s">
        <v>26</v>
      </c>
      <c r="B16" s="2" t="s">
        <v>28</v>
      </c>
      <c r="C16" s="2">
        <v>2800</v>
      </c>
      <c r="D16" s="2">
        <v>2500</v>
      </c>
      <c r="E16" t="str">
        <f>IF(C16&gt;D16,"Over Spent",IF(C16=D16,"On Budget","Under Spent"))</f>
        <v>Over Spent</v>
      </c>
      <c r="F16" s="3">
        <f>D16-C16</f>
        <v>-300</v>
      </c>
    </row>
    <row r="17" spans="1:6">
      <c r="A17" s="2" t="s">
        <v>23</v>
      </c>
      <c r="B17" s="2" t="s">
        <v>29</v>
      </c>
      <c r="C17" s="2">
        <v>2500</v>
      </c>
      <c r="D17" s="2">
        <v>2000</v>
      </c>
      <c r="E17" t="str">
        <f>IF(C17&gt;D17,"Over Spent",IF(C17=D17,"On Budget","Under Spent"))</f>
        <v>Over Spent</v>
      </c>
      <c r="F17" s="3">
        <f>D17-C17</f>
        <v>-500</v>
      </c>
    </row>
    <row r="18" spans="1:6">
      <c r="A18" s="2" t="s">
        <v>20</v>
      </c>
      <c r="B18" s="2" t="s">
        <v>30</v>
      </c>
      <c r="C18" s="2">
        <v>4000</v>
      </c>
      <c r="D18" s="2">
        <v>3500</v>
      </c>
      <c r="E18" t="str">
        <f>IF(C18&gt;D18,"Over Spent",IF(C18=D18,"On Budget","Under Spent"))</f>
        <v>Over Spent</v>
      </c>
      <c r="F18" s="3">
        <f>D18-C18</f>
        <v>-500</v>
      </c>
    </row>
    <row r="19" spans="1:6">
      <c r="A19" s="2" t="s">
        <v>18</v>
      </c>
      <c r="B19" s="2" t="s">
        <v>31</v>
      </c>
      <c r="C19" s="2">
        <v>3500</v>
      </c>
      <c r="D19" s="2">
        <v>3000</v>
      </c>
      <c r="E19" t="str">
        <f>IF(C19&gt;D19,"Over Spent",IF(C19=D19,"On Budget","Under Spent"))</f>
        <v>Over Spent</v>
      </c>
      <c r="F19" s="3">
        <f>D19-C19</f>
        <v>-500</v>
      </c>
    </row>
  </sheetData>
  <conditionalFormatting sqref="F2:F19">
    <cfRule type="cellIs" dxfId="12" priority="5" operator="greaterThan">
      <formula>0</formula>
    </cfRule>
  </conditionalFormatting>
  <conditionalFormatting sqref="F1:F1048576">
    <cfRule type="cellIs" dxfId="11" priority="4" operator="lessThan">
      <formula>0</formula>
    </cfRule>
  </conditionalFormatting>
  <conditionalFormatting sqref="E2:E19">
    <cfRule type="containsText" dxfId="10" priority="3" operator="containsText" text="Over Spent">
      <formula>NOT(ISERROR(SEARCH("Over Spent",E2)))</formula>
    </cfRule>
  </conditionalFormatting>
  <conditionalFormatting sqref="E2:E19">
    <cfRule type="containsText" dxfId="9" priority="2" operator="containsText" text="Under spent">
      <formula>NOT(ISERROR(SEARCH("Under spent",E2)))</formula>
    </cfRule>
  </conditionalFormatting>
  <conditionalFormatting sqref="E1:E1048576">
    <cfRule type="containsText" dxfId="8" priority="1" operator="containsText" text="0">
      <formula>NOT(ISERROR(SEARCH("0",E1)))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AD51-C7C6-4AED-86A6-E7B8BD8419B4}">
  <dimension ref="A3:E49"/>
  <sheetViews>
    <sheetView workbookViewId="0">
      <selection activeCell="H21" sqref="H21"/>
    </sheetView>
  </sheetViews>
  <sheetFormatPr defaultRowHeight="15"/>
  <cols>
    <col min="1" max="1" width="17" bestFit="1" customWidth="1"/>
    <col min="2" max="2" width="12.5703125" bestFit="1" customWidth="1"/>
    <col min="3" max="3" width="16.5703125" bestFit="1" customWidth="1"/>
    <col min="4" max="4" width="17.7109375" bestFit="1" customWidth="1"/>
    <col min="5" max="5" width="16.42578125" bestFit="1" customWidth="1"/>
    <col min="6" max="6" width="19.5703125" bestFit="1" customWidth="1"/>
  </cols>
  <sheetData>
    <row r="3" spans="1:5">
      <c r="A3" s="6" t="s">
        <v>0</v>
      </c>
      <c r="B3" s="6" t="s">
        <v>1</v>
      </c>
      <c r="C3" s="6" t="s">
        <v>4</v>
      </c>
      <c r="D3" t="s">
        <v>32</v>
      </c>
      <c r="E3" t="s">
        <v>33</v>
      </c>
    </row>
    <row r="4" spans="1:5">
      <c r="A4" t="s">
        <v>12</v>
      </c>
      <c r="B4" t="s">
        <v>17</v>
      </c>
      <c r="C4" t="s">
        <v>34</v>
      </c>
      <c r="D4" s="7">
        <v>1800</v>
      </c>
      <c r="E4" s="7">
        <v>1800</v>
      </c>
    </row>
    <row r="5" spans="1:5">
      <c r="B5" t="s">
        <v>35</v>
      </c>
      <c r="D5" s="7">
        <v>1800</v>
      </c>
      <c r="E5" s="7">
        <v>1800</v>
      </c>
    </row>
    <row r="6" spans="1:5">
      <c r="B6" t="s">
        <v>13</v>
      </c>
      <c r="C6" t="s">
        <v>36</v>
      </c>
      <c r="D6" s="7">
        <v>1600</v>
      </c>
      <c r="E6" s="7">
        <v>1700</v>
      </c>
    </row>
    <row r="7" spans="1:5">
      <c r="B7" t="s">
        <v>37</v>
      </c>
      <c r="D7" s="7">
        <v>1600</v>
      </c>
      <c r="E7" s="7">
        <v>1700</v>
      </c>
    </row>
    <row r="8" spans="1:5">
      <c r="A8" t="s">
        <v>38</v>
      </c>
      <c r="D8" s="7">
        <v>3400</v>
      </c>
      <c r="E8" s="7">
        <v>3500</v>
      </c>
    </row>
    <row r="9" spans="1:5">
      <c r="A9" t="s">
        <v>26</v>
      </c>
      <c r="B9" t="s">
        <v>28</v>
      </c>
      <c r="C9" t="s">
        <v>39</v>
      </c>
      <c r="D9" s="7">
        <v>2800</v>
      </c>
      <c r="E9" s="7">
        <v>2500</v>
      </c>
    </row>
    <row r="10" spans="1:5">
      <c r="B10" t="s">
        <v>40</v>
      </c>
      <c r="D10" s="7">
        <v>2800</v>
      </c>
      <c r="E10" s="7">
        <v>2500</v>
      </c>
    </row>
    <row r="11" spans="1:5">
      <c r="B11" t="s">
        <v>27</v>
      </c>
      <c r="C11" t="s">
        <v>39</v>
      </c>
      <c r="D11" s="7">
        <v>1200</v>
      </c>
      <c r="E11" s="7">
        <v>1000</v>
      </c>
    </row>
    <row r="12" spans="1:5">
      <c r="B12" t="s">
        <v>41</v>
      </c>
      <c r="D12" s="7">
        <v>1200</v>
      </c>
      <c r="E12" s="7">
        <v>1000</v>
      </c>
    </row>
    <row r="13" spans="1:5">
      <c r="A13" t="s">
        <v>42</v>
      </c>
      <c r="D13" s="7">
        <v>4000</v>
      </c>
      <c r="E13" s="7">
        <v>3500</v>
      </c>
    </row>
    <row r="14" spans="1:5">
      <c r="A14" t="s">
        <v>10</v>
      </c>
      <c r="B14" t="s">
        <v>11</v>
      </c>
      <c r="C14" t="s">
        <v>36</v>
      </c>
      <c r="D14" s="7">
        <v>2700</v>
      </c>
      <c r="E14" s="7">
        <v>2800</v>
      </c>
    </row>
    <row r="15" spans="1:5">
      <c r="B15" t="s">
        <v>43</v>
      </c>
      <c r="D15" s="7">
        <v>2700</v>
      </c>
      <c r="E15" s="7">
        <v>2800</v>
      </c>
    </row>
    <row r="16" spans="1:5">
      <c r="B16" t="s">
        <v>16</v>
      </c>
      <c r="C16" t="s">
        <v>34</v>
      </c>
      <c r="D16" s="7">
        <v>7000</v>
      </c>
      <c r="E16" s="7">
        <v>7000</v>
      </c>
    </row>
    <row r="17" spans="1:5">
      <c r="B17" t="s">
        <v>44</v>
      </c>
      <c r="D17" s="7">
        <v>7000</v>
      </c>
      <c r="E17" s="7">
        <v>7000</v>
      </c>
    </row>
    <row r="18" spans="1:5">
      <c r="A18" t="s">
        <v>45</v>
      </c>
      <c r="D18" s="7">
        <v>9700</v>
      </c>
      <c r="E18" s="7">
        <v>9800</v>
      </c>
    </row>
    <row r="19" spans="1:5">
      <c r="A19" t="s">
        <v>6</v>
      </c>
      <c r="B19" t="s">
        <v>7</v>
      </c>
      <c r="C19" t="s">
        <v>36</v>
      </c>
      <c r="D19" s="7">
        <v>1300</v>
      </c>
      <c r="E19" s="7">
        <v>2000</v>
      </c>
    </row>
    <row r="20" spans="1:5">
      <c r="B20" t="s">
        <v>46</v>
      </c>
      <c r="D20" s="7">
        <v>1300</v>
      </c>
      <c r="E20" s="7">
        <v>2000</v>
      </c>
    </row>
    <row r="21" spans="1:5">
      <c r="B21" t="s">
        <v>9</v>
      </c>
      <c r="C21" t="s">
        <v>36</v>
      </c>
      <c r="D21" s="7">
        <v>1500</v>
      </c>
      <c r="E21" s="7">
        <v>2000</v>
      </c>
    </row>
    <row r="22" spans="1:5">
      <c r="B22" t="s">
        <v>47</v>
      </c>
      <c r="D22" s="7">
        <v>1500</v>
      </c>
      <c r="E22" s="7">
        <v>2000</v>
      </c>
    </row>
    <row r="23" spans="1:5">
      <c r="A23" t="s">
        <v>48</v>
      </c>
      <c r="D23" s="7">
        <v>2800</v>
      </c>
      <c r="E23" s="7">
        <v>4000</v>
      </c>
    </row>
    <row r="24" spans="1:5">
      <c r="A24" t="s">
        <v>14</v>
      </c>
      <c r="B24" t="s">
        <v>25</v>
      </c>
      <c r="C24" t="s">
        <v>39</v>
      </c>
      <c r="D24" s="7">
        <v>3400</v>
      </c>
      <c r="E24" s="7">
        <v>3200</v>
      </c>
    </row>
    <row r="25" spans="1:5">
      <c r="B25" t="s">
        <v>49</v>
      </c>
      <c r="D25" s="7">
        <v>3400</v>
      </c>
      <c r="E25" s="7">
        <v>3200</v>
      </c>
    </row>
    <row r="26" spans="1:5">
      <c r="B26" t="s">
        <v>15</v>
      </c>
      <c r="C26" t="s">
        <v>34</v>
      </c>
      <c r="D26" s="7">
        <v>3000</v>
      </c>
      <c r="E26" s="7">
        <v>3000</v>
      </c>
    </row>
    <row r="27" spans="1:5">
      <c r="B27" t="s">
        <v>50</v>
      </c>
      <c r="D27" s="7">
        <v>3000</v>
      </c>
      <c r="E27" s="7">
        <v>3000</v>
      </c>
    </row>
    <row r="28" spans="1:5">
      <c r="A28" t="s">
        <v>51</v>
      </c>
      <c r="D28" s="7">
        <v>6400</v>
      </c>
      <c r="E28" s="7">
        <v>6200</v>
      </c>
    </row>
    <row r="29" spans="1:5">
      <c r="A29" t="s">
        <v>18</v>
      </c>
      <c r="B29" t="s">
        <v>31</v>
      </c>
      <c r="C29" t="s">
        <v>39</v>
      </c>
      <c r="D29" s="7">
        <v>3500</v>
      </c>
      <c r="E29" s="7">
        <v>3000</v>
      </c>
    </row>
    <row r="30" spans="1:5">
      <c r="B30" t="s">
        <v>52</v>
      </c>
      <c r="D30" s="7">
        <v>3500</v>
      </c>
      <c r="E30" s="7">
        <v>3000</v>
      </c>
    </row>
    <row r="31" spans="1:5">
      <c r="B31" t="s">
        <v>19</v>
      </c>
      <c r="C31" t="s">
        <v>34</v>
      </c>
      <c r="D31" s="7">
        <v>2000</v>
      </c>
      <c r="E31" s="7">
        <v>2000</v>
      </c>
    </row>
    <row r="32" spans="1:5">
      <c r="B32" t="s">
        <v>53</v>
      </c>
      <c r="D32" s="7">
        <v>2000</v>
      </c>
      <c r="E32" s="7">
        <v>2000</v>
      </c>
    </row>
    <row r="33" spans="1:5">
      <c r="A33" t="s">
        <v>54</v>
      </c>
      <c r="D33" s="7">
        <v>5500</v>
      </c>
      <c r="E33" s="7">
        <v>5000</v>
      </c>
    </row>
    <row r="34" spans="1:5">
      <c r="A34" t="s">
        <v>23</v>
      </c>
      <c r="B34" t="s">
        <v>29</v>
      </c>
      <c r="C34" t="s">
        <v>39</v>
      </c>
      <c r="D34" s="7">
        <v>2500</v>
      </c>
      <c r="E34" s="7">
        <v>2000</v>
      </c>
    </row>
    <row r="35" spans="1:5">
      <c r="B35" t="s">
        <v>55</v>
      </c>
      <c r="D35" s="7">
        <v>2500</v>
      </c>
      <c r="E35" s="7">
        <v>2000</v>
      </c>
    </row>
    <row r="36" spans="1:5">
      <c r="B36" t="s">
        <v>24</v>
      </c>
      <c r="C36" t="s">
        <v>39</v>
      </c>
      <c r="D36" s="7">
        <v>1700</v>
      </c>
      <c r="E36" s="7">
        <v>1500</v>
      </c>
    </row>
    <row r="37" spans="1:5">
      <c r="B37" t="s">
        <v>56</v>
      </c>
      <c r="D37" s="7">
        <v>1700</v>
      </c>
      <c r="E37" s="7">
        <v>1500</v>
      </c>
    </row>
    <row r="38" spans="1:5">
      <c r="A38" t="s">
        <v>57</v>
      </c>
      <c r="D38" s="7">
        <v>4200</v>
      </c>
      <c r="E38" s="7">
        <v>3500</v>
      </c>
    </row>
    <row r="39" spans="1:5">
      <c r="A39" t="s">
        <v>20</v>
      </c>
      <c r="B39" t="s">
        <v>30</v>
      </c>
      <c r="C39" t="s">
        <v>39</v>
      </c>
      <c r="D39" s="7">
        <v>4000</v>
      </c>
      <c r="E39" s="7">
        <v>3500</v>
      </c>
    </row>
    <row r="40" spans="1:5">
      <c r="B40" t="s">
        <v>58</v>
      </c>
      <c r="D40" s="7">
        <v>4000</v>
      </c>
      <c r="E40" s="7">
        <v>3500</v>
      </c>
    </row>
    <row r="41" spans="1:5">
      <c r="B41" t="s">
        <v>21</v>
      </c>
      <c r="C41" t="s">
        <v>39</v>
      </c>
      <c r="D41" s="7">
        <v>3100</v>
      </c>
      <c r="E41" s="7">
        <v>3000</v>
      </c>
    </row>
    <row r="42" spans="1:5">
      <c r="B42" t="s">
        <v>59</v>
      </c>
      <c r="D42" s="7">
        <v>3100</v>
      </c>
      <c r="E42" s="7">
        <v>3000</v>
      </c>
    </row>
    <row r="43" spans="1:5">
      <c r="A43" t="s">
        <v>60</v>
      </c>
      <c r="D43" s="7">
        <v>7100</v>
      </c>
      <c r="E43" s="7">
        <v>6500</v>
      </c>
    </row>
    <row r="44" spans="1:5">
      <c r="A44" t="s">
        <v>8</v>
      </c>
      <c r="B44" t="s">
        <v>9</v>
      </c>
      <c r="C44" t="s">
        <v>36</v>
      </c>
      <c r="D44" s="7">
        <v>1900</v>
      </c>
      <c r="E44" s="7">
        <v>2500</v>
      </c>
    </row>
    <row r="45" spans="1:5">
      <c r="B45" t="s">
        <v>47</v>
      </c>
      <c r="D45" s="7">
        <v>1900</v>
      </c>
      <c r="E45" s="7">
        <v>2500</v>
      </c>
    </row>
    <row r="46" spans="1:5">
      <c r="B46" t="s">
        <v>22</v>
      </c>
      <c r="C46" t="s">
        <v>39</v>
      </c>
      <c r="D46" s="7">
        <v>2200</v>
      </c>
      <c r="E46" s="7">
        <v>2000</v>
      </c>
    </row>
    <row r="47" spans="1:5">
      <c r="B47" t="s">
        <v>61</v>
      </c>
      <c r="D47" s="7">
        <v>2200</v>
      </c>
      <c r="E47" s="7">
        <v>2000</v>
      </c>
    </row>
    <row r="48" spans="1:5">
      <c r="A48" t="s">
        <v>62</v>
      </c>
      <c r="D48" s="7">
        <v>4100</v>
      </c>
      <c r="E48" s="7">
        <v>4500</v>
      </c>
    </row>
    <row r="49" spans="1:5">
      <c r="A49" t="s">
        <v>63</v>
      </c>
      <c r="D49" s="7">
        <v>47200</v>
      </c>
      <c r="E49" s="7">
        <v>46500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4245-73E9-4E06-A210-FFB79536F521}">
  <dimension ref="A1:K4"/>
  <sheetViews>
    <sheetView tabSelected="1" workbookViewId="0">
      <selection activeCell="E1" sqref="E1"/>
    </sheetView>
  </sheetViews>
  <sheetFormatPr defaultRowHeight="15"/>
  <cols>
    <col min="1" max="1" width="24.140625" bestFit="1" customWidth="1"/>
    <col min="2" max="2" width="9.28515625" customWidth="1"/>
    <col min="4" max="4" width="36.5703125" bestFit="1" customWidth="1"/>
  </cols>
  <sheetData>
    <row r="1" spans="1:11">
      <c r="A1" t="s">
        <v>64</v>
      </c>
      <c r="B1" s="8">
        <f>SUM(Table3[Expense ($)])</f>
        <v>47200</v>
      </c>
      <c r="D1" s="10"/>
      <c r="E1" s="9"/>
      <c r="F1" s="9"/>
      <c r="G1" s="9"/>
      <c r="H1" s="9"/>
      <c r="I1" s="9"/>
      <c r="J1" s="9"/>
      <c r="K1" s="9"/>
    </row>
    <row r="2" spans="1:11">
      <c r="A2" t="s">
        <v>65</v>
      </c>
      <c r="B2">
        <f>SUM(Table3[Budget ($)])</f>
        <v>46500</v>
      </c>
    </row>
    <row r="3" spans="1:11">
      <c r="A3" t="s">
        <v>66</v>
      </c>
      <c r="B3" s="5">
        <f>COUNTIF(Table4[[Budget status ]],"Over Spent")</f>
        <v>9</v>
      </c>
    </row>
    <row r="4" spans="1:11">
      <c r="A4" t="s">
        <v>67</v>
      </c>
      <c r="B4" s="5">
        <f>COUNTIF(Table4[[Budget status ]],"Under Spent")</f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abolade.abubakar.farombi</dc:creator>
  <cp:keywords/>
  <dc:description/>
  <cp:lastModifiedBy/>
  <cp:revision/>
  <dcterms:created xsi:type="dcterms:W3CDTF">2026-05-22T20:41:35Z</dcterms:created>
  <dcterms:modified xsi:type="dcterms:W3CDTF">2026-06-07T16:34:39Z</dcterms:modified>
  <cp:category/>
  <cp:contentStatus/>
</cp:coreProperties>
</file>